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EDAFF64-3FFC-4920-AA56-EA32E24A559F}" xr6:coauthVersionLast="47" xr6:coauthVersionMax="47" xr10:uidLastSave="{00000000-0000-0000-0000-000000000000}"/>
  <bookViews>
    <workbookView xWindow="-108" yWindow="-108" windowWidth="23256" windowHeight="12576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Sheet1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3" l="1"/>
  <c r="L4" i="13"/>
  <c r="L5" i="13"/>
  <c r="L6" i="13"/>
  <c r="L7" i="13"/>
  <c r="L8" i="13"/>
  <c r="L9" i="13"/>
  <c r="L10" i="13"/>
  <c r="L2" i="13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J2" i="1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L3" i="7"/>
  <c r="L4" i="7"/>
  <c r="L5" i="7"/>
  <c r="L6" i="7"/>
  <c r="L7" i="7"/>
  <c r="L8" i="7"/>
  <c r="L9" i="7"/>
  <c r="L10" i="7"/>
  <c r="L2" i="7"/>
  <c r="J3" i="7"/>
  <c r="J4" i="7"/>
  <c r="J5" i="7"/>
  <c r="J6" i="7"/>
  <c r="J7" i="7"/>
  <c r="J8" i="7"/>
  <c r="J9" i="7"/>
  <c r="J10" i="7"/>
  <c r="J2" i="7"/>
  <c r="N3" i="6"/>
  <c r="N4" i="6"/>
  <c r="N5" i="6"/>
  <c r="N6" i="6"/>
  <c r="N7" i="6"/>
  <c r="N8" i="6"/>
  <c r="N9" i="6"/>
  <c r="N10" i="6"/>
  <c r="N2" i="6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<sst xmlns="http://schemas.openxmlformats.org/spreadsheetml/2006/main" count="585" uniqueCount="90">
  <si>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</si>
  <si>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</si>
  <si>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</si>
  <si>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</si>
  <si>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</si>
  <si>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</si>
  <si>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</si>
  <si>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</si>
  <si>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</si>
  <si>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</si>
  <si>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</si>
  <si>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</si>
  <si>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</si>
  <si>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</si>
  <si>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</si>
  <si>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</si>
  <si>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</si>
  <si>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</si>
  <si>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</si>
  <si>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</si>
  <si>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</si>
  <si>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</si>
  <si>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</si>
  <si>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</si>
  <si>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</si>
  <si>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</si>
  <si>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</si>
  <si>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</si>
  <si>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</si>
  <si>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</si>
  <si>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</si>
  <si>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</si>
  <si>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</si>
  <si>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</si>
  <si>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</si>
  <si>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</si>
  <si>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</si>
  <si>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</si>
  <si>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</si>
  <si>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</si>
  <si>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</si>
  <si>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</si>
  <si>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</si>
  <si>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</si>
  <si>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</si>
  <si>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</si>
  <si>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</si>
  <si>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</si>
  <si>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</si>
  <si>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</si>
  <si>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</si>
  <si>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</si>
  <si>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</si>
  <si>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</si>
  <si>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</si>
  <si>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</si>
  <si>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</si>
  <si>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</si>
  <si>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</si>
  <si>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</si>
  <si>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</si>
  <si>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</si>
  <si>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</si>
  <si>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</si>
  <si>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</si>
  <si>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</si>
  <si>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</si>
  <si>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</si>
  <si>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</si>
  <si>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</si>
  <si>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</si>
  <si>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</si>
  <si>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</si>
  <si>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</si>
  <si>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</si>
  <si>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</si>
  <si>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</si>
  <si>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</si>
  <si>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</si>
  <si>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</si>
  <si>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</si>
  <si>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</si>
  <si>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</si>
  <si>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</si>
  <si>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</si>
  <si>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</si>
  <si>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</si>
  <si>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</si>
  <si>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concatenate</t>
  </si>
  <si>
    <t>NETWORKDAYSINTL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</si>
</sst>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G17" sqref="G17"/>
    </sheetView>
  </sheetViews>
  <sheetFormatPr defaultColWidth="13.69921875" defaultRowHeight="13.8" x14ac:dyDescent="0.25"/>
  <cols>
    <col min="1" max="1" width="10.796875" bestFit="1" customWidth="1"/>
    <col min="4" max="4" width="7.69921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E20" sqref="E20"/>
    </sheetView>
  </sheetViews>
  <sheetFormatPr defaultColWidth="13.69921875" defaultRowHeight="13.8" x14ac:dyDescent="0.25"/>
  <cols>
    <col min="1" max="1" width="10.796875" bestFit="1" customWidth="1"/>
    <col min="4" max="4" width="7.69921875" customWidth="1"/>
    <col min="11" max="11" width="27.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&gt;30,"Old","Young")</f>
        <v>Young</v>
      </c>
      <c r="K2" t="str" cm="1">
        <f t="array" ref="K2:K10">_xlfn.IFS(F2:F10 ="Salesman", "sales",F2:F10= "HR","Fire Immdiate",F2:F10="Regional Manager", "Give Christms Bon")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Immdiate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Christms Bon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I17" sqref="I17"/>
    </sheetView>
  </sheetViews>
  <sheetFormatPr defaultColWidth="10.8984375" defaultRowHeight="13.8" x14ac:dyDescent="0.25"/>
  <cols>
    <col min="1" max="1" width="10.7968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D1" workbookViewId="0">
      <selection activeCell="L19" sqref="L19"/>
    </sheetView>
  </sheetViews>
  <sheetFormatPr defaultColWidth="14.59765625" defaultRowHeight="13.8" x14ac:dyDescent="0.25"/>
  <cols>
    <col min="4" max="4" width="8" customWidth="1"/>
    <col min="10" max="10" width="32.29687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B1" workbookViewId="0">
      <selection activeCell="E5" sqref="E5"/>
    </sheetView>
  </sheetViews>
  <sheetFormatPr defaultColWidth="13.69921875" defaultRowHeight="13.8" x14ac:dyDescent="0.25"/>
  <cols>
    <col min="1" max="1" width="10.796875" bestFit="1" customWidth="1"/>
    <col min="4" max="4" width="7.699218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11/02/2001</v>
      </c>
      <c r="M2" t="str" cm="1">
        <f t="array" ref="M2:M10">RIGHT(_xlfn.ANCHORARRAY(J2),4)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10/03/1999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07/04/2000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01/05/2000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05/06/2001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12/07/1995</v>
      </c>
      <c r="M7" t="str"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11/08/2003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06/09/2002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08/10/2003</v>
      </c>
      <c r="M10" t="str"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N10"/>
  <sheetViews>
    <sheetView topLeftCell="E1" workbookViewId="0">
      <selection activeCell="O8" sqref="O8"/>
    </sheetView>
  </sheetViews>
  <sheetFormatPr defaultColWidth="13.69921875" defaultRowHeight="13.8" x14ac:dyDescent="0.25"/>
  <cols>
    <col min="1" max="1" width="10.796875" bestFit="1" customWidth="1"/>
    <col min="4" max="4" width="7.69921875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  <c r="N1" t="s">
        <v>88</v>
      </c>
    </row>
    <row r="2" spans="1:14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  <c r="N2" t="str">
        <f>CONCATENATE(B2," ",C2)</f>
        <v>Jim Halpert</v>
      </c>
    </row>
    <row r="3" spans="1:14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  <c r="N3" t="str">
        <f t="shared" ref="N3:N10" si="0">CONCATENATE(B3," ",C3)</f>
        <v>Pam Beasley</v>
      </c>
    </row>
    <row r="4" spans="1:14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  <c r="N4" t="str">
        <f t="shared" si="0"/>
        <v>Dwight  Schrute</v>
      </c>
    </row>
    <row r="5" spans="1:14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  <c r="N5" t="str">
        <f t="shared" si="0"/>
        <v>Angela Martin</v>
      </c>
    </row>
    <row r="6" spans="1:14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  <c r="N6" t="str">
        <f t="shared" si="0"/>
        <v xml:space="preserve">Toby Flenderson    </v>
      </c>
    </row>
    <row r="7" spans="1:14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  <c r="N7" t="str">
        <f t="shared" si="0"/>
        <v>Michael    Scott</v>
      </c>
    </row>
    <row r="8" spans="1:14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  <c r="N8" t="str">
        <f t="shared" si="0"/>
        <v>Meredith Palmer</v>
      </c>
    </row>
    <row r="9" spans="1:14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  <c r="N9" t="str">
        <f t="shared" si="0"/>
        <v>Stanley   Hudson</v>
      </c>
    </row>
    <row r="10" spans="1:14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  <c r="N10" t="str">
        <f t="shared" si="0"/>
        <v xml:space="preserve">Kevin Malone 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H21" sqref="H21"/>
    </sheetView>
  </sheetViews>
  <sheetFormatPr defaultColWidth="13.69921875" defaultRowHeight="13.8" x14ac:dyDescent="0.25"/>
  <cols>
    <col min="1" max="1" width="10.796875" bestFit="1" customWidth="1"/>
    <col min="4" max="4" width="7.699218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SUBSTITUTE(H2,"/","-",1)</f>
        <v>11-2/2001</v>
      </c>
      <c r="K2" t="str">
        <f>SUBSTITUTE(H2,"/","-",2)</f>
        <v>11/2-2001</v>
      </c>
      <c r="L2" t="str">
        <f>SUBSTITUTE(H2,"/","-")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SUBSTITUTE(H3,"/","-",1)</f>
        <v>10-3/1999</v>
      </c>
      <c r="K3" t="str">
        <f t="shared" ref="K3:K10" si="1">SUBSTITUTE(H3,"/","-",2)</f>
        <v>10/3-1999</v>
      </c>
      <c r="L3" t="str">
        <f t="shared" ref="L3:L10" si="2">SUBSTITUTE(H3,"/","-")</f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G6" sqref="G6"/>
    </sheetView>
  </sheetViews>
  <sheetFormatPr defaultColWidth="13" defaultRowHeight="13.8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 50000")</f>
        <v>128000</v>
      </c>
      <c r="L2">
        <f>SUMIFS(G2:G10,E2:E10,"male",D2:D10,"&gt;30")</f>
        <v>205000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8" sqref="L8"/>
    </sheetView>
  </sheetViews>
  <sheetFormatPr defaultColWidth="13.69921875" defaultRowHeight="13.8" x14ac:dyDescent="0.25"/>
  <cols>
    <col min="1" max="1" width="10.796875" bestFit="1" customWidth="1"/>
    <col min="4" max="4" width="7.699218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 50000")</f>
        <v>2</v>
      </c>
      <c r="L2">
        <f>COUNTIFS(G2:G10,"&gt;30000",E2:E10,"Male",D2:D10,"&gt;30")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J8" sqref="J8"/>
    </sheetView>
  </sheetViews>
  <sheetFormatPr defaultRowHeight="13.8" x14ac:dyDescent="0.25"/>
  <cols>
    <col min="2" max="2" width="10.3984375" customWidth="1"/>
    <col min="3" max="5" width="10.69921875" customWidth="1"/>
    <col min="6" max="6" width="16.59765625" customWidth="1"/>
    <col min="8" max="8" width="14.19921875" customWidth="1"/>
    <col min="9" max="9" width="14.7968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25">
      <c r="H11" t="str">
        <f t="shared" ref="H11:H12" si="0">CONCATENATE(B11," ",C11)</f>
        <v xml:space="preserve"> </v>
      </c>
    </row>
    <row r="12" spans="1:10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L10"/>
  <sheetViews>
    <sheetView tabSelected="1" workbookViewId="0">
      <selection activeCell="L21" sqref="L21"/>
    </sheetView>
  </sheetViews>
  <sheetFormatPr defaultRowHeight="13.8" x14ac:dyDescent="0.25"/>
  <cols>
    <col min="8" max="8" width="14.3984375" customWidth="1"/>
    <col min="9" max="9" width="13.296875" customWidth="1"/>
    <col min="11" max="11" width="17.5" customWidth="1"/>
    <col min="12" max="12" width="18.8984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  <c r="L1" t="s">
        <v>89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  <c r="L2">
        <f>NETWORKDAYS.INTL(H2,I2,7)</f>
        <v>3611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  <c r="L3">
        <f t="shared" ref="L3:L10" si="2">NETWORKDAYS.INTL(H3,I3,7)</f>
        <v>4180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  <c r="L4">
        <f t="shared" si="2"/>
        <v>4483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  <c r="L5">
        <f t="shared" si="2"/>
        <v>4152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  <c r="L6">
        <f t="shared" si="2"/>
        <v>4259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  <c r="L7">
        <f t="shared" si="2"/>
        <v>3224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  <c r="L8">
        <f t="shared" si="2"/>
        <v>2569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  <c r="L9">
        <f t="shared" si="2"/>
        <v>3359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  <c r="L10">
        <f t="shared" si="2"/>
        <v>3054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C482-CF31-40AC-A561-224E84BEE0B8}">
  <dimension ref="A1"/>
  <sheetViews>
    <sheetView workbookViewId="0">
      <selection activeCell="K17" sqref="K17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Esraa Mohamed</cp:lastModifiedBy>
  <dcterms:created xsi:type="dcterms:W3CDTF">2021-12-16T14:18:34Z</dcterms:created>
  <dcterms:modified xsi:type="dcterms:W3CDTF">2025-11-08T14:27:10Z</dcterms:modified>
</cp:coreProperties>
</file>